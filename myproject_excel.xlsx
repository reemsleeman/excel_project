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08F777E-865F-4BA4-9876-F0CC10A81D82}" xr6:coauthVersionLast="47" xr6:coauthVersionMax="47" xr10:uidLastSave="{00000000-0000-0000-0000-000000000000}"/>
  <bookViews>
    <workbookView xWindow="-108" yWindow="-108" windowWidth="23256" windowHeight="13896" firstSheet="1" activeTab="1" xr2:uid="{4CFC76D2-258F-4ED4-B944-04DC6B64D292}"/>
  </bookViews>
  <sheets>
    <sheet name="عددالموظفين لكل قسم" sheetId="2" r:id="rId1"/>
    <sheet name="مجموع الرواتب لكل قسم" sheetId="3" r:id="rId2"/>
    <sheet name="كل مدينة وكم موظف منها" sheetId="4" r:id="rId3"/>
    <sheet name="المشروع الاساسي" sheetId="1" r:id="rId4"/>
  </sheet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10" i="1"/>
  <c r="J23" i="1"/>
  <c r="J22" i="1"/>
  <c r="J21" i="1"/>
  <c r="J18" i="1"/>
  <c r="J17" i="1"/>
  <c r="J16" i="1"/>
  <c r="J15" i="1"/>
  <c r="J14" i="1"/>
  <c r="J13" i="1"/>
  <c r="J12" i="1"/>
  <c r="I9" i="1"/>
  <c r="I13" i="1"/>
  <c r="I5" i="1"/>
  <c r="I8" i="1"/>
  <c r="I15" i="1"/>
  <c r="I11" i="1"/>
  <c r="I2" i="1"/>
  <c r="I4" i="1"/>
  <c r="I14" i="1"/>
  <c r="I7" i="1"/>
  <c r="I12" i="1"/>
  <c r="I6" i="1"/>
  <c r="I16" i="1"/>
  <c r="I3" i="1"/>
  <c r="I10" i="1"/>
  <c r="J11" i="1"/>
  <c r="J9" i="1"/>
  <c r="J7" i="1"/>
  <c r="J6" i="1"/>
  <c r="J5" i="1"/>
  <c r="J4" i="1"/>
</calcChain>
</file>

<file path=xl/sharedStrings.xml><?xml version="1.0" encoding="utf-8"?>
<sst xmlns="http://schemas.openxmlformats.org/spreadsheetml/2006/main" count="136" uniqueCount="77">
  <si>
    <t>Employee ID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</si>
  <si>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</si>
  <si>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</si>
  <si>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</si>
  <si>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</si>
  <si>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</si>
  <si>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</si>
  <si>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</si>
  <si>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</si>
  <si>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</si>
  <si>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</si>
  <si>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</si>
  <si>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</si>
  <si>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</si>
  <si>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</si>
  <si>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</si>
  <si>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Name</t>
  </si>
  <si>
    <t>Ahmad Ali</t>
  </si>
  <si>
    <t>Sara Omar</t>
  </si>
  <si>
    <t>Lina Hassan</t>
  </si>
  <si>
    <t>Omar Khalil</t>
  </si>
  <si>
    <t>Maya Samir</t>
  </si>
  <si>
    <t>Karim Nasser</t>
  </si>
  <si>
    <t>Noor Ahmad</t>
  </si>
  <si>
    <t>Adam Saleh</t>
  </si>
  <si>
    <t>Jana Hassan</t>
  </si>
  <si>
    <t>Rami Omar</t>
  </si>
  <si>
    <t>Sara Khaled</t>
  </si>
  <si>
    <t>Tarek Ali</t>
  </si>
  <si>
    <t>Hala Nasser</t>
  </si>
  <si>
    <t>Sami Hassan</t>
  </si>
  <si>
    <t>Nour Saleh</t>
  </si>
  <si>
    <t>Department</t>
  </si>
  <si>
    <t>IT</t>
  </si>
  <si>
    <t>HR</t>
  </si>
  <si>
    <t>Finance</t>
  </si>
  <si>
    <t>Sales</t>
  </si>
  <si>
    <t>City</t>
  </si>
  <si>
    <t>Wels</t>
  </si>
  <si>
    <t>Linz</t>
  </si>
  <si>
    <t>Salzburg</t>
  </si>
  <si>
    <t>Vienna</t>
  </si>
  <si>
    <t>Salary</t>
  </si>
  <si>
    <t>Performance</t>
  </si>
  <si>
    <t>Status</t>
  </si>
  <si>
    <t>Active</t>
  </si>
  <si>
    <t>Inactive</t>
  </si>
  <si>
    <t xml:space="preserve">Date </t>
  </si>
  <si>
    <t>25/06/2022</t>
  </si>
  <si>
    <t>17/09/2024</t>
  </si>
  <si>
    <t>20/02/2022</t>
  </si>
  <si>
    <t>14/07/2021</t>
  </si>
  <si>
    <t>29/08/2024</t>
  </si>
  <si>
    <t>19/12/2022</t>
  </si>
  <si>
    <t>22/10/2020</t>
  </si>
  <si>
    <t>16/06/2024</t>
  </si>
  <si>
    <t xml:space="preserve">متوسط الرواتب </t>
  </si>
  <si>
    <t>اعلى راتب :</t>
  </si>
  <si>
    <t>اقل راتب :</t>
  </si>
  <si>
    <t>عدد موظفين قسم HR</t>
  </si>
  <si>
    <t>عدد موظفين قسم Sales</t>
  </si>
  <si>
    <t>عدد موظفين قسم Finance</t>
  </si>
  <si>
    <t>Bonus</t>
  </si>
  <si>
    <t>متوسط الرواتب قسم فقطit:</t>
  </si>
  <si>
    <t>متوسط الرواتب قسم فقطhr</t>
  </si>
  <si>
    <t>متوسط الرواتب فقط Sales</t>
  </si>
  <si>
    <t>مجموع رواتب Finance</t>
  </si>
  <si>
    <t>راتب E009</t>
  </si>
  <si>
    <t>راتب E013</t>
  </si>
  <si>
    <t>راتب E005</t>
  </si>
  <si>
    <t>Count of Employee ID</t>
  </si>
  <si>
    <t>Row Labels</t>
  </si>
  <si>
    <t>(blank)</t>
  </si>
  <si>
    <t>Grand Total</t>
  </si>
  <si>
    <t>Sum of Salary</t>
  </si>
  <si>
    <t>عدد الموظفين الكلي :</t>
  </si>
  <si>
    <t>عدد موظفين قسم IT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</si>
</sst>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4"/>
      <color theme="1"/>
      <name val="Andalus"/>
      <family val="1"/>
    </font>
    <font>
      <b/>
      <sz val="11"/>
      <color theme="1"/>
      <name val="Aptos Narrow"/>
      <family val="2"/>
      <scheme val="minor"/>
    </font>
    <font>
      <b/>
      <sz val="14"/>
      <color theme="0"/>
      <name val="Andalus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dalus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dalus"/>
        <family val="1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dalus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dalus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dalus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dalus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dalus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dalus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dalus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dalus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dalus"/>
        <family val="1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A1E9B6C8-A4F0-48D4-84C5-7269BA9B8C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1.52212858796" createdVersion="8" refreshedVersion="8" minRefreshableVersion="3" recordCount="16" xr:uid="{E3685F20-133E-4439-BDE1-073BF467266D}">
  <cacheSource type="worksheet">
    <worksheetSource name="Table1"/>
  </cacheSource>
  <cacheFields count="9">
    <cacheField name="Employee ID" numFmtId="0">
      <sharedItems containsBlank="1"/>
    </cacheField>
    <cacheField name="Name" numFmtId="0">
      <sharedItems containsBlank="1"/>
    </cacheField>
    <cacheField name="Department" numFmtId="0">
      <sharedItems containsBlank="1" count="5">
        <s v="Finance"/>
        <s v="IT"/>
        <s v="HR"/>
        <s v="Sales"/>
        <m/>
      </sharedItems>
    </cacheField>
    <cacheField name="City" numFmtId="0">
      <sharedItems containsBlank="1" count="5">
        <s v="Vienna"/>
        <s v="Salzburg"/>
        <s v="Wels"/>
        <s v="Linz"/>
        <m/>
      </sharedItems>
    </cacheField>
    <cacheField name="Salary" numFmtId="0">
      <sharedItems containsString="0" containsBlank="1" containsNumber="1" containsInteger="1" minValue="2350" maxValue="3300"/>
    </cacheField>
    <cacheField name="Performance" numFmtId="0">
      <sharedItems containsString="0" containsBlank="1" containsNumber="1" containsInteger="1" minValue="67" maxValue="96"/>
    </cacheField>
    <cacheField name="Status" numFmtId="0">
      <sharedItems containsBlank="1"/>
    </cacheField>
    <cacheField name="Date " numFmtId="0">
      <sharedItems containsDate="1" containsBlank="1" containsMixedTypes="1" minDate="2020-03-05T00:00:00" maxDate="2023-12-04T00:00:00"/>
    </cacheField>
    <cacheField name="Bon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007"/>
    <s v="Noor Ahmad"/>
    <x v="0"/>
    <x v="0"/>
    <n v="3300"/>
    <n v="91"/>
    <s v="Active"/>
    <d v="2020-03-05T00:00:00"/>
    <s v="EXCELLENT"/>
  </r>
  <r>
    <s v="E014"/>
    <s v="Sami Hassan"/>
    <x v="0"/>
    <x v="1"/>
    <n v="3250"/>
    <n v="67"/>
    <s v="Inactive"/>
    <d v="2021-09-02T00:00:00"/>
    <s v="NoRMAL"/>
  </r>
  <r>
    <s v="E008"/>
    <s v="Adam Saleh"/>
    <x v="1"/>
    <x v="2"/>
    <n v="3200"/>
    <n v="73"/>
    <s v="Inactive"/>
    <s v="14/07/2021"/>
    <s v="NoRMAL"/>
  </r>
  <r>
    <s v="E003"/>
    <s v="Lina Hassan"/>
    <x v="0"/>
    <x v="2"/>
    <n v="3100"/>
    <n v="76"/>
    <s v="Active"/>
    <d v="2021-08-01T00:00:00"/>
    <s v="NoRMAL"/>
  </r>
  <r>
    <s v="E012"/>
    <s v="Tarek Ali"/>
    <x v="1"/>
    <x v="3"/>
    <n v="3050"/>
    <n v="78"/>
    <s v="Active"/>
    <s v="22/10/2020"/>
    <s v="NoRMAL"/>
  </r>
  <r>
    <s v="E010"/>
    <s v="Rami Omar"/>
    <x v="0"/>
    <x v="3"/>
    <n v="3000"/>
    <n v="81"/>
    <s v="Active"/>
    <s v="19/12/2022"/>
    <s v="NoRMAL"/>
  </r>
  <r>
    <s v="E004"/>
    <s v="Omar Khalil"/>
    <x v="1"/>
    <x v="1"/>
    <n v="2950"/>
    <n v="95"/>
    <s v="Active"/>
    <s v="17/09/2024"/>
    <s v="EXCELLENT"/>
  </r>
  <r>
    <s v="E001"/>
    <s v="Ahmad Ali"/>
    <x v="1"/>
    <x v="2"/>
    <n v="2850"/>
    <n v="88"/>
    <s v="Active"/>
    <d v="2023-12-03T00:00:00"/>
    <s v="NoRMAL"/>
  </r>
  <r>
    <s v="E015"/>
    <s v="Nour Saleh"/>
    <x v="2"/>
    <x v="2"/>
    <n v="2800"/>
    <n v="89"/>
    <s v="Active"/>
    <d v="2021-09-02T00:00:00"/>
    <s v="NoRMAL"/>
  </r>
  <r>
    <s v="E006"/>
    <s v="Karim Nasser"/>
    <x v="2"/>
    <x v="2"/>
    <n v="2750"/>
    <n v="84"/>
    <s v="Active"/>
    <s v="20/02/2022"/>
    <s v="NoRMAL"/>
  </r>
  <r>
    <s v="E011"/>
    <s v="Sara Khaled"/>
    <x v="2"/>
    <x v="0"/>
    <n v="2700"/>
    <n v="96"/>
    <s v="Active"/>
    <d v="2023-05-04T00:00:00"/>
    <s v="EXCELLENT"/>
  </r>
  <r>
    <s v="E002"/>
    <s v="Sara Omar"/>
    <x v="2"/>
    <x v="3"/>
    <n v="2600"/>
    <n v="92"/>
    <s v="Active"/>
    <s v="25/06/2022"/>
    <s v="EXCELLENT"/>
  </r>
  <r>
    <s v="E009"/>
    <s v="Jana Hassan"/>
    <x v="3"/>
    <x v="1"/>
    <n v="2500"/>
    <n v="87"/>
    <s v="Active"/>
    <s v="29/08/2024"/>
    <s v="NoRMAL"/>
  </r>
  <r>
    <s v="E005"/>
    <s v="Maya Samir"/>
    <x v="3"/>
    <x v="3"/>
    <n v="2400"/>
    <n v="69"/>
    <s v="Active"/>
    <d v="2023-11-11T00:00:00"/>
    <s v="NoRMAL"/>
  </r>
  <r>
    <s v="E013"/>
    <s v="Hala Nasser"/>
    <x v="3"/>
    <x v="2"/>
    <n v="2350"/>
    <n v="90"/>
    <s v="Active"/>
    <s v="16/06/2024"/>
    <s v="EXCELLENT"/>
  </r>
  <r>
    <m/>
    <m/>
    <x v="4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3DF90-4D53-413D-9A08-4AB67E64E04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dataField="1"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FC071-1FD1-44BC-8733-F5855EB7D78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44260-1A3B-4749-9938-5200EE4A0505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dataField="1"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3DFAB-E750-496E-B9EC-C07F4DC1729D}" name="Table1" displayName="Table1" ref="A1:I17" totalsRowShown="0" headerRowDxfId="10" dataDxfId="0">
  <autoFilter ref="A1:I17" xr:uid="{D183DFAB-E750-496E-B9EC-C07F4DC1729D}"/>
  <sortState xmlns:xlrd2="http://schemas.microsoft.com/office/spreadsheetml/2017/richdata2" ref="A2:I17">
    <sortCondition descending="1" ref="E1:E17"/>
  </sortState>
  <tableColumns count="9">
    <tableColumn id="1" xr3:uid="{85E55B7A-A4B9-42A1-9835-EF3CFDDFED92}" name="Employee ID" dataDxfId="9"/>
    <tableColumn id="2" xr3:uid="{B948FEF1-7D75-457D-A09F-FCA8B0E25671}" name="Name" dataDxfId="8"/>
    <tableColumn id="3" xr3:uid="{9BEA5E7A-614B-4EE4-ABFD-6603A0BFAA87}" name="Department" dataDxfId="7"/>
    <tableColumn id="4" xr3:uid="{80AD3031-55CF-4B12-92CD-68DB091B3724}" name="City" dataDxfId="6"/>
    <tableColumn id="5" xr3:uid="{AB4CC005-8A6D-43B9-9C73-C2C0BCF882F6}" name="Salary" dataDxfId="5"/>
    <tableColumn id="6" xr3:uid="{4ACCC817-6E19-4E58-8A2A-C98BF89EB663}" name="Performance" dataDxfId="4"/>
    <tableColumn id="7" xr3:uid="{A57C5ECE-8A54-46A9-ADF3-B8321526CA90}" name="Status" dataDxfId="3"/>
    <tableColumn id="8" xr3:uid="{C686F96F-9EC0-4AE9-B201-60DB5279FEB5}" name="Date " dataDxfId="2"/>
    <tableColumn id="9" xr3:uid="{E3250F9F-F32E-4C5C-A2E7-F04B19053D6B}" name="Bonus" dataDxfId="1">
      <calculatedColumnFormula>IF(Table1[[#This Row],[Performance]]&gt;=90,"EXCELLENT","NoRMAL")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7BD8-ED9B-4867-ACCC-9E44C96C68B4}">
  <dimension ref="A3:B9"/>
  <sheetViews>
    <sheetView workbookViewId="0">
      <selection activeCell="B11" sqref="B11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9" t="s">
        <v>71</v>
      </c>
      <c r="B3" t="s">
        <v>70</v>
      </c>
    </row>
    <row r="4" spans="1:2" x14ac:dyDescent="0.3">
      <c r="A4" s="10" t="s">
        <v>35</v>
      </c>
      <c r="B4" s="8">
        <v>4</v>
      </c>
    </row>
    <row r="5" spans="1:2" x14ac:dyDescent="0.3">
      <c r="A5" s="10" t="s">
        <v>34</v>
      </c>
      <c r="B5" s="8">
        <v>4</v>
      </c>
    </row>
    <row r="6" spans="1:2" x14ac:dyDescent="0.3">
      <c r="A6" s="10" t="s">
        <v>33</v>
      </c>
      <c r="B6" s="8">
        <v>4</v>
      </c>
    </row>
    <row r="7" spans="1:2" x14ac:dyDescent="0.3">
      <c r="A7" s="10" t="s">
        <v>36</v>
      </c>
      <c r="B7" s="8">
        <v>3</v>
      </c>
    </row>
    <row r="8" spans="1:2" x14ac:dyDescent="0.3">
      <c r="A8" s="10" t="s">
        <v>72</v>
      </c>
      <c r="B8" s="8"/>
    </row>
    <row r="9" spans="1:2" x14ac:dyDescent="0.3">
      <c r="A9" s="10" t="s">
        <v>73</v>
      </c>
      <c r="B9" s="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2729-D1D9-40BE-AD13-C69A37638ACB}">
  <dimension ref="A3:B9"/>
  <sheetViews>
    <sheetView tabSelected="1" workbookViewId="0">
      <selection activeCell="C10" sqref="C10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3" spans="1:2" x14ac:dyDescent="0.3">
      <c r="A3" s="9" t="s">
        <v>71</v>
      </c>
      <c r="B3" t="s">
        <v>74</v>
      </c>
    </row>
    <row r="4" spans="1:2" x14ac:dyDescent="0.3">
      <c r="A4" s="10" t="s">
        <v>35</v>
      </c>
      <c r="B4" s="8">
        <v>12650</v>
      </c>
    </row>
    <row r="5" spans="1:2" x14ac:dyDescent="0.3">
      <c r="A5" s="10" t="s">
        <v>34</v>
      </c>
      <c r="B5" s="8">
        <v>10850</v>
      </c>
    </row>
    <row r="6" spans="1:2" x14ac:dyDescent="0.3">
      <c r="A6" s="10" t="s">
        <v>33</v>
      </c>
      <c r="B6" s="8">
        <v>12050</v>
      </c>
    </row>
    <row r="7" spans="1:2" x14ac:dyDescent="0.3">
      <c r="A7" s="10" t="s">
        <v>36</v>
      </c>
      <c r="B7" s="8">
        <v>7250</v>
      </c>
    </row>
    <row r="8" spans="1:2" x14ac:dyDescent="0.3">
      <c r="A8" s="10" t="s">
        <v>72</v>
      </c>
      <c r="B8" s="8"/>
    </row>
    <row r="9" spans="1:2" x14ac:dyDescent="0.3">
      <c r="A9" s="10" t="s">
        <v>73</v>
      </c>
      <c r="B9" s="8">
        <v>42800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0D64-6BE6-4F64-A750-73E6FDD48CB9}">
  <dimension ref="A3:B9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9" t="s">
        <v>71</v>
      </c>
      <c r="B3" t="s">
        <v>70</v>
      </c>
    </row>
    <row r="4" spans="1:2" x14ac:dyDescent="0.3">
      <c r="A4" s="10" t="s">
        <v>39</v>
      </c>
      <c r="B4" s="8">
        <v>4</v>
      </c>
    </row>
    <row r="5" spans="1:2" x14ac:dyDescent="0.3">
      <c r="A5" s="10" t="s">
        <v>40</v>
      </c>
      <c r="B5" s="8">
        <v>3</v>
      </c>
    </row>
    <row r="6" spans="1:2" x14ac:dyDescent="0.3">
      <c r="A6" s="10" t="s">
        <v>41</v>
      </c>
      <c r="B6" s="8">
        <v>2</v>
      </c>
    </row>
    <row r="7" spans="1:2" x14ac:dyDescent="0.3">
      <c r="A7" s="10" t="s">
        <v>38</v>
      </c>
      <c r="B7" s="8">
        <v>6</v>
      </c>
    </row>
    <row r="8" spans="1:2" x14ac:dyDescent="0.3">
      <c r="A8" s="10" t="s">
        <v>72</v>
      </c>
      <c r="B8" s="8"/>
    </row>
    <row r="9" spans="1:2" x14ac:dyDescent="0.3">
      <c r="A9" s="10" t="s">
        <v>73</v>
      </c>
      <c r="B9" s="8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8999-4873-48B7-943C-74B1FBAD49C7}">
  <dimension ref="A1:K23"/>
  <sheetViews>
    <sheetView zoomScale="107" zoomScaleNormal="115" workbookViewId="0">
      <selection activeCell="K15" sqref="J4:K18"/>
    </sheetView>
  </sheetViews>
  <sheetFormatPr defaultRowHeight="14.4" x14ac:dyDescent="0.3"/>
  <cols>
    <col min="1" max="1" width="17.21875" customWidth="1"/>
    <col min="2" max="2" width="14.88671875" customWidth="1"/>
    <col min="3" max="3" width="16.5546875" customWidth="1"/>
    <col min="4" max="4" width="15.21875" customWidth="1"/>
    <col min="5" max="5" width="12.109375" customWidth="1"/>
    <col min="6" max="6" width="17.33203125" customWidth="1"/>
    <col min="7" max="7" width="12.88671875" customWidth="1"/>
    <col min="8" max="8" width="17" customWidth="1"/>
    <col min="9" max="9" width="24.77734375" customWidth="1"/>
    <col min="10" max="10" width="21" customWidth="1"/>
    <col min="11" max="11" width="20.77734375" customWidth="1"/>
  </cols>
  <sheetData>
    <row r="1" spans="1:11" ht="24" x14ac:dyDescent="0.7">
      <c r="A1" s="1" t="s">
        <v>0</v>
      </c>
      <c r="B1" s="1" t="s">
        <v>16</v>
      </c>
      <c r="C1" s="1" t="s">
        <v>32</v>
      </c>
      <c r="D1" s="1" t="s">
        <v>37</v>
      </c>
      <c r="E1" s="1" t="s">
        <v>42</v>
      </c>
      <c r="F1" s="1" t="s">
        <v>43</v>
      </c>
      <c r="G1" s="1" t="s">
        <v>44</v>
      </c>
      <c r="H1" s="1" t="s">
        <v>47</v>
      </c>
      <c r="I1" s="1" t="s">
        <v>62</v>
      </c>
    </row>
    <row r="2" spans="1:11" ht="24" x14ac:dyDescent="0.3">
      <c r="A2" s="11" t="s">
        <v>7</v>
      </c>
      <c r="B2" s="11" t="s">
        <v>23</v>
      </c>
      <c r="C2" s="11" t="s">
        <v>35</v>
      </c>
      <c r="D2" s="11" t="s">
        <v>41</v>
      </c>
      <c r="E2" s="11">
        <v>3300</v>
      </c>
      <c r="F2" s="11">
        <v>91</v>
      </c>
      <c r="G2" s="11" t="s">
        <v>45</v>
      </c>
      <c r="H2" s="12">
        <v>43895</v>
      </c>
      <c r="I2" s="11" t="str">
        <f>IF(Table1[[#This Row],[Performance]]&gt;=90,"EXCELLENT","NoRMAL")</f>
        <v>EXCELLENT</v>
      </c>
    </row>
    <row r="3" spans="1:11" ht="24" x14ac:dyDescent="0.3">
      <c r="A3" s="11" t="s">
        <v>14</v>
      </c>
      <c r="B3" s="11" t="s">
        <v>30</v>
      </c>
      <c r="C3" s="11" t="s">
        <v>35</v>
      </c>
      <c r="D3" s="11" t="s">
        <v>40</v>
      </c>
      <c r="E3" s="11">
        <v>3250</v>
      </c>
      <c r="F3" s="11">
        <v>67</v>
      </c>
      <c r="G3" s="11" t="s">
        <v>46</v>
      </c>
      <c r="H3" s="12">
        <v>44441</v>
      </c>
      <c r="I3" s="11" t="str">
        <f>IF(Table1[[#This Row],[Performance]]&gt;=90,"EXCELLENT","NoRMAL")</f>
        <v>NoRMAL</v>
      </c>
    </row>
    <row r="4" spans="1:11" ht="24" x14ac:dyDescent="0.3">
      <c r="A4" s="11" t="s">
        <v>8</v>
      </c>
      <c r="B4" s="11" t="s">
        <v>24</v>
      </c>
      <c r="C4" s="11" t="s">
        <v>33</v>
      </c>
      <c r="D4" s="11" t="s">
        <v>38</v>
      </c>
      <c r="E4" s="11">
        <v>3200</v>
      </c>
      <c r="F4" s="11">
        <v>73</v>
      </c>
      <c r="G4" s="11" t="s">
        <v>46</v>
      </c>
      <c r="H4" s="13" t="s">
        <v>51</v>
      </c>
      <c r="I4" s="11" t="str">
        <f>IF(Table1[[#This Row],[Performance]]&gt;=90,"EXCELLENT","NoRMAL")</f>
        <v>NoRMAL</v>
      </c>
      <c r="J4" s="14">
        <f>AVERAGE(E2:E16)</f>
        <v>2853.3333333333335</v>
      </c>
      <c r="K4" s="14" t="s">
        <v>56</v>
      </c>
    </row>
    <row r="5" spans="1:11" ht="24" x14ac:dyDescent="0.3">
      <c r="A5" s="11" t="s">
        <v>3</v>
      </c>
      <c r="B5" s="11" t="s">
        <v>19</v>
      </c>
      <c r="C5" s="11" t="s">
        <v>35</v>
      </c>
      <c r="D5" s="11" t="s">
        <v>38</v>
      </c>
      <c r="E5" s="11">
        <v>3100</v>
      </c>
      <c r="F5" s="11">
        <v>76</v>
      </c>
      <c r="G5" s="11" t="s">
        <v>45</v>
      </c>
      <c r="H5" s="12">
        <v>44409</v>
      </c>
      <c r="I5" s="11" t="str">
        <f>IF(Table1[[#This Row],[Performance]]&gt;=90,"EXCELLENT","NoRMAL")</f>
        <v>NoRMAL</v>
      </c>
      <c r="J5" s="14">
        <f>MAX(E2:E16)</f>
        <v>3300</v>
      </c>
      <c r="K5" s="14" t="s">
        <v>57</v>
      </c>
    </row>
    <row r="6" spans="1:11" ht="24" x14ac:dyDescent="0.3">
      <c r="A6" s="11" t="s">
        <v>12</v>
      </c>
      <c r="B6" s="11" t="s">
        <v>28</v>
      </c>
      <c r="C6" s="11" t="s">
        <v>33</v>
      </c>
      <c r="D6" s="11" t="s">
        <v>39</v>
      </c>
      <c r="E6" s="11">
        <v>3050</v>
      </c>
      <c r="F6" s="11">
        <v>78</v>
      </c>
      <c r="G6" s="11" t="s">
        <v>45</v>
      </c>
      <c r="H6" s="13" t="s">
        <v>54</v>
      </c>
      <c r="I6" s="11" t="str">
        <f>IF(Table1[[#This Row],[Performance]]&gt;=90,"EXCELLENT","NoRMAL")</f>
        <v>NoRMAL</v>
      </c>
      <c r="J6" s="14">
        <f>MIN(E2:E16)</f>
        <v>2350</v>
      </c>
      <c r="K6" s="14" t="s">
        <v>58</v>
      </c>
    </row>
    <row r="7" spans="1:11" ht="24" x14ac:dyDescent="0.3">
      <c r="A7" s="11" t="s">
        <v>10</v>
      </c>
      <c r="B7" s="11" t="s">
        <v>26</v>
      </c>
      <c r="C7" s="11" t="s">
        <v>35</v>
      </c>
      <c r="D7" s="11" t="s">
        <v>39</v>
      </c>
      <c r="E7" s="11">
        <v>3000</v>
      </c>
      <c r="F7" s="11">
        <v>81</v>
      </c>
      <c r="G7" s="11" t="s">
        <v>45</v>
      </c>
      <c r="H7" s="13" t="s">
        <v>53</v>
      </c>
      <c r="I7" s="11" t="str">
        <f>IF(Table1[[#This Row],[Performance]]&gt;=90,"EXCELLENT","NoRMAL")</f>
        <v>NoRMAL</v>
      </c>
      <c r="J7" s="14">
        <f>COUNTA(B2:B16)</f>
        <v>15</v>
      </c>
      <c r="K7" s="14" t="s">
        <v>75</v>
      </c>
    </row>
    <row r="8" spans="1:11" ht="24" x14ac:dyDescent="0.3">
      <c r="A8" s="11" t="s">
        <v>4</v>
      </c>
      <c r="B8" s="11" t="s">
        <v>20</v>
      </c>
      <c r="C8" s="11" t="s">
        <v>33</v>
      </c>
      <c r="D8" s="11" t="s">
        <v>40</v>
      </c>
      <c r="E8" s="11">
        <v>2950</v>
      </c>
      <c r="F8" s="11">
        <v>95</v>
      </c>
      <c r="G8" s="11" t="s">
        <v>45</v>
      </c>
      <c r="H8" s="13" t="s">
        <v>49</v>
      </c>
      <c r="I8" s="11" t="str">
        <f>IF(Table1[[#This Row],[Performance]]&gt;=90,"EXCELLENT","NoRMAL")</f>
        <v>EXCELLENT</v>
      </c>
      <c r="J8" s="14">
        <f>COUNTIF(C1:C16,"IT")</f>
        <v>4</v>
      </c>
      <c r="K8" s="14" t="s">
        <v>76</v>
      </c>
    </row>
    <row r="9" spans="1:11" ht="24" x14ac:dyDescent="0.3">
      <c r="A9" s="11" t="s">
        <v>1</v>
      </c>
      <c r="B9" s="11" t="s">
        <v>17</v>
      </c>
      <c r="C9" s="11" t="s">
        <v>33</v>
      </c>
      <c r="D9" s="11" t="s">
        <v>38</v>
      </c>
      <c r="E9" s="11">
        <v>2850</v>
      </c>
      <c r="F9" s="11">
        <v>88</v>
      </c>
      <c r="G9" s="11" t="s">
        <v>45</v>
      </c>
      <c r="H9" s="12">
        <v>45263</v>
      </c>
      <c r="I9" s="11" t="str">
        <f>IF(Table1[[#This Row],[Performance]]&gt;=90,"EXCELLENT","NoRMAL")</f>
        <v>NoRMAL</v>
      </c>
      <c r="J9" s="14">
        <f>COUNTIF(C2:C16,C7)</f>
        <v>4</v>
      </c>
      <c r="K9" s="14" t="s">
        <v>59</v>
      </c>
    </row>
    <row r="10" spans="1:11" ht="24" x14ac:dyDescent="0.3">
      <c r="A10" s="11" t="s">
        <v>15</v>
      </c>
      <c r="B10" s="11" t="s">
        <v>31</v>
      </c>
      <c r="C10" s="11" t="s">
        <v>34</v>
      </c>
      <c r="D10" s="11" t="s">
        <v>38</v>
      </c>
      <c r="E10" s="11">
        <v>2800</v>
      </c>
      <c r="F10" s="11">
        <v>89</v>
      </c>
      <c r="G10" s="11" t="s">
        <v>45</v>
      </c>
      <c r="H10" s="12">
        <v>44441</v>
      </c>
      <c r="I10" s="11" t="str">
        <f>IF(Table1[[#This Row],[Performance]]&gt;=90,"EXCELLENT","NoRMAL")</f>
        <v>NoRMAL</v>
      </c>
      <c r="J10" s="14">
        <f>COUNTIF(C2:C16,C14)</f>
        <v>3</v>
      </c>
      <c r="K10" s="14" t="s">
        <v>60</v>
      </c>
    </row>
    <row r="11" spans="1:11" ht="24" x14ac:dyDescent="0.3">
      <c r="A11" s="11" t="s">
        <v>6</v>
      </c>
      <c r="B11" s="11" t="s">
        <v>22</v>
      </c>
      <c r="C11" s="11" t="s">
        <v>34</v>
      </c>
      <c r="D11" s="11" t="s">
        <v>38</v>
      </c>
      <c r="E11" s="11">
        <v>2750</v>
      </c>
      <c r="F11" s="11">
        <v>84</v>
      </c>
      <c r="G11" s="11" t="s">
        <v>45</v>
      </c>
      <c r="H11" s="13" t="s">
        <v>50</v>
      </c>
      <c r="I11" s="11" t="str">
        <f>IF(Table1[[#This Row],[Performance]]&gt;=90,"EXCELLENT","NoRMAL")</f>
        <v>NoRMAL</v>
      </c>
      <c r="J11" s="14">
        <f>COUNTIF(C2:C16,C8)</f>
        <v>4</v>
      </c>
      <c r="K11" s="14" t="s">
        <v>61</v>
      </c>
    </row>
    <row r="12" spans="1:11" ht="24" x14ac:dyDescent="0.3">
      <c r="A12" s="11" t="s">
        <v>11</v>
      </c>
      <c r="B12" s="11" t="s">
        <v>27</v>
      </c>
      <c r="C12" s="11" t="s">
        <v>34</v>
      </c>
      <c r="D12" s="11" t="s">
        <v>41</v>
      </c>
      <c r="E12" s="11">
        <v>2700</v>
      </c>
      <c r="F12" s="11">
        <v>96</v>
      </c>
      <c r="G12" s="11" t="s">
        <v>45</v>
      </c>
      <c r="H12" s="12">
        <v>45050</v>
      </c>
      <c r="I12" s="11" t="str">
        <f>IF(Table1[[#This Row],[Performance]]&gt;=90,"EXCELLENT","NoRMAL")</f>
        <v>EXCELLENT</v>
      </c>
      <c r="J12" s="14">
        <f ca="1">AVERAGEIF(C2:E16,C6,E2:E16)</f>
        <v>3012.5</v>
      </c>
      <c r="K12" s="14" t="s">
        <v>63</v>
      </c>
    </row>
    <row r="13" spans="1:11" ht="24" x14ac:dyDescent="0.3">
      <c r="A13" s="11" t="s">
        <v>2</v>
      </c>
      <c r="B13" s="11" t="s">
        <v>18</v>
      </c>
      <c r="C13" s="11" t="s">
        <v>34</v>
      </c>
      <c r="D13" s="11" t="s">
        <v>39</v>
      </c>
      <c r="E13" s="11">
        <v>2600</v>
      </c>
      <c r="F13" s="11">
        <v>92</v>
      </c>
      <c r="G13" s="11" t="s">
        <v>45</v>
      </c>
      <c r="H13" s="13" t="s">
        <v>48</v>
      </c>
      <c r="I13" s="11" t="str">
        <f>IF(Table1[[#This Row],[Performance]]&gt;=90,"EXCELLENT","NoRMAL")</f>
        <v>EXCELLENT</v>
      </c>
      <c r="J13" s="14">
        <f ca="1">AVERAGEIF(C2:E16,C10,E2:E16)</f>
        <v>2712.5</v>
      </c>
      <c r="K13" s="14" t="s">
        <v>64</v>
      </c>
    </row>
    <row r="14" spans="1:11" ht="24" x14ac:dyDescent="0.3">
      <c r="A14" s="11" t="s">
        <v>9</v>
      </c>
      <c r="B14" s="11" t="s">
        <v>25</v>
      </c>
      <c r="C14" s="11" t="s">
        <v>36</v>
      </c>
      <c r="D14" s="11" t="s">
        <v>40</v>
      </c>
      <c r="E14" s="11">
        <v>2500</v>
      </c>
      <c r="F14" s="11">
        <v>87</v>
      </c>
      <c r="G14" s="11" t="s">
        <v>45</v>
      </c>
      <c r="H14" s="13" t="s">
        <v>52</v>
      </c>
      <c r="I14" s="11" t="str">
        <f>IF(Table1[[#This Row],[Performance]]&gt;=90,"EXCELLENT","NoRMAL")</f>
        <v>NoRMAL</v>
      </c>
      <c r="J14" s="14">
        <f ca="1">AVERAGEIF(C2:E16,Table1[[#This Row],[Department]],E2:E16)</f>
        <v>2416.6666666666665</v>
      </c>
      <c r="K14" s="14" t="s">
        <v>65</v>
      </c>
    </row>
    <row r="15" spans="1:11" ht="24" x14ac:dyDescent="0.3">
      <c r="A15" s="11" t="s">
        <v>5</v>
      </c>
      <c r="B15" s="11" t="s">
        <v>21</v>
      </c>
      <c r="C15" s="11" t="s">
        <v>36</v>
      </c>
      <c r="D15" s="11" t="s">
        <v>39</v>
      </c>
      <c r="E15" s="11">
        <v>2400</v>
      </c>
      <c r="F15" s="11">
        <v>69</v>
      </c>
      <c r="G15" s="11" t="s">
        <v>45</v>
      </c>
      <c r="H15" s="12">
        <v>45241</v>
      </c>
      <c r="I15" s="11" t="str">
        <f>IF(Table1[[#This Row],[Performance]]&gt;=90,"EXCELLENT","NoRMAL")</f>
        <v>NoRMAL</v>
      </c>
      <c r="J15" s="14">
        <f ca="1">SUMIF(C2:E16,C7,E2:E16)</f>
        <v>12650</v>
      </c>
      <c r="K15" s="14" t="s">
        <v>66</v>
      </c>
    </row>
    <row r="16" spans="1:11" ht="24" x14ac:dyDescent="0.3">
      <c r="A16" s="11" t="s">
        <v>13</v>
      </c>
      <c r="B16" s="11" t="s">
        <v>29</v>
      </c>
      <c r="C16" s="11" t="s">
        <v>36</v>
      </c>
      <c r="D16" s="11" t="s">
        <v>38</v>
      </c>
      <c r="E16" s="11">
        <v>2350</v>
      </c>
      <c r="F16" s="11">
        <v>90</v>
      </c>
      <c r="G16" s="11" t="s">
        <v>45</v>
      </c>
      <c r="H16" s="13" t="s">
        <v>55</v>
      </c>
      <c r="I16" s="11" t="str">
        <f>IF(Table1[[#This Row],[Performance]]&gt;=90,"EXCELLENT","NoRMAL")</f>
        <v>EXCELLENT</v>
      </c>
      <c r="J16" s="14">
        <f>INDEX(E2:E16,MATCH("E009",A2:A16,0))</f>
        <v>2500</v>
      </c>
      <c r="K16" s="14" t="s">
        <v>67</v>
      </c>
    </row>
    <row r="17" spans="1:11" ht="24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4">
        <f>INDEX(E2:E16,MATCH("E013",A2:A16,0))</f>
        <v>2350</v>
      </c>
      <c r="K17" s="14" t="s">
        <v>68</v>
      </c>
    </row>
    <row r="18" spans="1:11" x14ac:dyDescent="0.3">
      <c r="J18" s="14">
        <f>INDEX(E2:E16,MATCH("E005",A2:A16,0))</f>
        <v>2400</v>
      </c>
      <c r="K18" s="14" t="s">
        <v>69</v>
      </c>
    </row>
    <row r="19" spans="1:11" x14ac:dyDescent="0.3">
      <c r="J19" s="14"/>
      <c r="K19" s="14"/>
    </row>
    <row r="20" spans="1:11" ht="24" x14ac:dyDescent="0.7">
      <c r="J20" s="2" t="s">
        <v>0</v>
      </c>
      <c r="K20" s="3" t="s">
        <v>16</v>
      </c>
    </row>
    <row r="21" spans="1:11" ht="24" x14ac:dyDescent="0.7">
      <c r="J21" s="4" t="str">
        <f>_xlfn.XLOOKUP("NOOR Ahmad",B2:B16,A2:A16)</f>
        <v>E007</v>
      </c>
      <c r="K21" s="5" t="s">
        <v>23</v>
      </c>
    </row>
    <row r="22" spans="1:11" ht="24" x14ac:dyDescent="0.7">
      <c r="J22" s="6" t="str">
        <f>_xlfn.XLOOKUP("Sami Hassan",B2:B16,A2:A16,)</f>
        <v>E014</v>
      </c>
      <c r="K22" s="7" t="s">
        <v>30</v>
      </c>
    </row>
    <row r="23" spans="1:11" ht="24" x14ac:dyDescent="0.7">
      <c r="J23" s="4" t="str">
        <f>_xlfn.XLOOKUP("Adam Saleh",B2:B16,A2:A16)</f>
        <v>E008</v>
      </c>
      <c r="K23" s="5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عددالموظفين لكل قسم</vt:lpstr>
      <vt:lpstr>مجموع الرواتب لكل قسم</vt:lpstr>
      <vt:lpstr>كل مدينة وكم موظف منها</vt:lpstr>
      <vt:lpstr>المشروع الاساسي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2026-10-03T17:36:54Z</dcterms:created>
  <dcterms:modified xsi:type="dcterms:W3CDTF">2026-10-06T09:39:06Z</dcterms:modified>
</cp:coreProperties>
</file>